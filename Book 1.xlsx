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759E0A9D-15C1-416B-8D56-726C633F656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BASIC FORMULA FUNCTION " sheetId="1" r:id="rId1"/>
    <sheet name="TEST FUNCTION " sheetId="2" r:id="rId2"/>
    <sheet name="Sheet1" sheetId="3" r:id="rId3"/>
    <sheet name="Sheet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2" i="2"/>
  <c r="N2" i="2"/>
  <c r="P2" i="2"/>
  <c r="O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  <c r="H3" i="2"/>
  <c r="M3" i="2" s="1"/>
  <c r="H4" i="2"/>
  <c r="M4" i="2" s="1"/>
  <c r="H5" i="2"/>
  <c r="M5" i="2" s="1"/>
  <c r="H6" i="2"/>
  <c r="M6" i="2" s="1"/>
  <c r="H7" i="2"/>
  <c r="M7" i="2" s="1"/>
  <c r="H8" i="2"/>
  <c r="M8" i="2" s="1"/>
  <c r="H9" i="2"/>
  <c r="M9" i="2" s="1"/>
  <c r="H10" i="2"/>
  <c r="M10" i="2" s="1"/>
  <c r="H11" i="2"/>
  <c r="M11" i="2" s="1"/>
  <c r="H12" i="2"/>
  <c r="M12" i="2" s="1"/>
  <c r="H13" i="2"/>
  <c r="M13" i="2" s="1"/>
  <c r="H14" i="2"/>
  <c r="M14" i="2" s="1"/>
  <c r="H15" i="2"/>
  <c r="M15" i="2" s="1"/>
  <c r="H16" i="2"/>
  <c r="M16" i="2" s="1"/>
  <c r="H17" i="2"/>
  <c r="M17" i="2" s="1"/>
  <c r="H18" i="2"/>
  <c r="M18" i="2" s="1"/>
  <c r="H19" i="2"/>
  <c r="M19" i="2" s="1"/>
  <c r="H20" i="2"/>
  <c r="M20" i="2" s="1"/>
  <c r="H2" i="2"/>
  <c r="M2" i="2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" i="2"/>
  <c r="D3" i="2"/>
  <c r="E3" i="2" s="1"/>
  <c r="F3" i="2" s="1"/>
  <c r="I3" i="2" s="1"/>
  <c r="D4" i="2"/>
  <c r="E4" i="2" s="1"/>
  <c r="F4" i="2" s="1"/>
  <c r="I4" i="2" s="1"/>
  <c r="D5" i="2"/>
  <c r="E5" i="2" s="1"/>
  <c r="F5" i="2" s="1"/>
  <c r="I5" i="2" s="1"/>
  <c r="D6" i="2"/>
  <c r="E6" i="2" s="1"/>
  <c r="F6" i="2" s="1"/>
  <c r="I6" i="2" s="1"/>
  <c r="D7" i="2"/>
  <c r="E7" i="2" s="1"/>
  <c r="F7" i="2" s="1"/>
  <c r="I7" i="2" s="1"/>
  <c r="D8" i="2"/>
  <c r="E8" i="2" s="1"/>
  <c r="F8" i="2" s="1"/>
  <c r="I8" i="2" s="1"/>
  <c r="D9" i="2"/>
  <c r="E9" i="2" s="1"/>
  <c r="F9" i="2" s="1"/>
  <c r="I9" i="2" s="1"/>
  <c r="D10" i="2"/>
  <c r="E10" i="2" s="1"/>
  <c r="F10" i="2" s="1"/>
  <c r="I10" i="2" s="1"/>
  <c r="D11" i="2"/>
  <c r="E11" i="2" s="1"/>
  <c r="F11" i="2" s="1"/>
  <c r="I11" i="2" s="1"/>
  <c r="D12" i="2"/>
  <c r="E12" i="2" s="1"/>
  <c r="F12" i="2" s="1"/>
  <c r="I12" i="2" s="1"/>
  <c r="D13" i="2"/>
  <c r="E13" i="2" s="1"/>
  <c r="F13" i="2" s="1"/>
  <c r="I13" i="2" s="1"/>
  <c r="D14" i="2"/>
  <c r="E14" i="2" s="1"/>
  <c r="F14" i="2" s="1"/>
  <c r="I14" i="2" s="1"/>
  <c r="D15" i="2"/>
  <c r="E15" i="2" s="1"/>
  <c r="F15" i="2" s="1"/>
  <c r="I15" i="2" s="1"/>
  <c r="D16" i="2"/>
  <c r="E16" i="2" s="1"/>
  <c r="F16" i="2" s="1"/>
  <c r="I16" i="2" s="1"/>
  <c r="D17" i="2"/>
  <c r="E17" i="2" s="1"/>
  <c r="F17" i="2" s="1"/>
  <c r="I17" i="2" s="1"/>
  <c r="D18" i="2"/>
  <c r="E18" i="2" s="1"/>
  <c r="F18" i="2" s="1"/>
  <c r="I18" i="2" s="1"/>
  <c r="D19" i="2"/>
  <c r="E19" i="2" s="1"/>
  <c r="F19" i="2" s="1"/>
  <c r="I19" i="2" s="1"/>
  <c r="D20" i="2"/>
  <c r="E20" i="2" s="1"/>
  <c r="F20" i="2" s="1"/>
  <c r="I20" i="2" s="1"/>
  <c r="D2" i="2"/>
  <c r="E2" i="2" s="1"/>
  <c r="F2" i="2" s="1"/>
  <c r="I2" i="2" s="1"/>
  <c r="K4" i="1"/>
  <c r="D4" i="1"/>
  <c r="C5" i="1"/>
  <c r="C4" i="1"/>
  <c r="B4" i="1"/>
  <c r="A5" i="1"/>
  <c r="A4" i="1"/>
</calcChain>
</file>

<file path=xl/sharedStrings.xml><?xml version="1.0" encoding="utf-8"?>
<sst xmlns="http://schemas.openxmlformats.org/spreadsheetml/2006/main" count="168" uniqueCount="113">
  <si>
    <t xml:space="preserve">ADDITION </t>
  </si>
  <si>
    <t xml:space="preserve">SUBSTRACTION </t>
  </si>
  <si>
    <t xml:space="preserve">MUNTIPLICATION </t>
  </si>
  <si>
    <t xml:space="preserve">DIVISION </t>
  </si>
  <si>
    <t>CINEMA HALL</t>
  </si>
  <si>
    <t xml:space="preserve">CUSTOMER'S NAME </t>
  </si>
  <si>
    <t>FOOD</t>
  </si>
  <si>
    <t>SEATS</t>
  </si>
  <si>
    <t>SEAT PRICE</t>
  </si>
  <si>
    <t xml:space="preserve">TOTAL </t>
  </si>
  <si>
    <t xml:space="preserve">AMRITA VAIDYA </t>
  </si>
  <si>
    <t>BODMAS-Brackets,order,divide,multiply,add,substract</t>
  </si>
  <si>
    <t xml:space="preserve">formula ke time selct karte time sum value coulm like .A2 A IS A COLUM AND 2 IS A ROW </t>
  </si>
  <si>
    <t>Prefix</t>
  </si>
  <si>
    <t xml:space="preserve">First name </t>
  </si>
  <si>
    <t xml:space="preserve">Last name </t>
  </si>
  <si>
    <t>concatenate</t>
  </si>
  <si>
    <t>lower</t>
  </si>
  <si>
    <t>upper</t>
  </si>
  <si>
    <t xml:space="preserve">upper </t>
  </si>
  <si>
    <t>proper 1</t>
  </si>
  <si>
    <t>proper2</t>
  </si>
  <si>
    <t>length</t>
  </si>
  <si>
    <t>left</t>
  </si>
  <si>
    <t>right</t>
  </si>
  <si>
    <t>mid</t>
  </si>
  <si>
    <t>FIND</t>
  </si>
  <si>
    <t>SEARCH</t>
  </si>
  <si>
    <t>REPLACE</t>
  </si>
  <si>
    <t>SUBSTITUTE</t>
  </si>
  <si>
    <t>MR.</t>
  </si>
  <si>
    <t>JON</t>
  </si>
  <si>
    <t>YANG</t>
  </si>
  <si>
    <t>EUGENE</t>
  </si>
  <si>
    <t>HUANG</t>
  </si>
  <si>
    <t>RUBEN</t>
  </si>
  <si>
    <t>TORRES</t>
  </si>
  <si>
    <t>MS.</t>
  </si>
  <si>
    <t>CHRISTY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</si>
  <si>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</si>
  <si>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</si>
  <si>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</si>
  <si>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</si>
  <si>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</si>
  <si>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</si>
  <si>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</si>
  <si>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</si>
  <si>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</si>
  <si>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</si>
  <si>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</si>
  <si>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</si>
  <si>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</t>
  </si>
  <si>
    <t>SUAREZ</t>
  </si>
  <si>
    <t>CURTIS</t>
  </si>
  <si>
    <t>LU</t>
  </si>
  <si>
    <t>LAUREN</t>
  </si>
  <si>
    <t>WALKER</t>
  </si>
  <si>
    <t>IAN</t>
  </si>
  <si>
    <t>JENKINS</t>
  </si>
  <si>
    <t>SYDNEY</t>
  </si>
  <si>
    <t>BENNETT</t>
  </si>
  <si>
    <t>CHLOE</t>
  </si>
  <si>
    <t>YOUNG</t>
  </si>
  <si>
    <t>WYATT</t>
  </si>
  <si>
    <t>HILL</t>
  </si>
  <si>
    <t>WANG</t>
  </si>
  <si>
    <t>CLARENCE</t>
  </si>
  <si>
    <t>RAI</t>
  </si>
  <si>
    <t>LUKE</t>
  </si>
  <si>
    <t>LAI</t>
  </si>
  <si>
    <t>Full Name</t>
  </si>
  <si>
    <t>Job Title</t>
  </si>
  <si>
    <t>Department</t>
  </si>
  <si>
    <t>Gender</t>
  </si>
  <si>
    <t>Age</t>
  </si>
  <si>
    <t>Emily Davis</t>
  </si>
  <si>
    <t>Sr. Manager</t>
  </si>
  <si>
    <t>IT</t>
  </si>
  <si>
    <t>Female</t>
  </si>
  <si>
    <t>Theodore Dinh</t>
  </si>
  <si>
    <t>Technical Architect</t>
  </si>
  <si>
    <t>Male</t>
  </si>
  <si>
    <t>Luna Sanders</t>
  </si>
  <si>
    <t>Director</t>
  </si>
  <si>
    <t>Finance</t>
  </si>
  <si>
    <t>Penelope Jordan</t>
  </si>
  <si>
    <t>Computer Systems Manager</t>
  </si>
  <si>
    <t>Austin Vo</t>
  </si>
  <si>
    <t>Sr. Analyst</t>
  </si>
  <si>
    <t>Joshua Gupta</t>
  </si>
  <si>
    <t>Account Representative</t>
  </si>
  <si>
    <t>Sales</t>
  </si>
  <si>
    <t>Ruby Barnes</t>
  </si>
  <si>
    <t>Manager</t>
  </si>
  <si>
    <t>Luke Martin</t>
  </si>
  <si>
    <t>Analyst</t>
  </si>
  <si>
    <t>Easton Bailey</t>
  </si>
  <si>
    <t>Accounting</t>
  </si>
  <si>
    <t>Madeline Walker</t>
  </si>
  <si>
    <t>Savannah Ali</t>
  </si>
  <si>
    <t>Human Resources</t>
  </si>
  <si>
    <t>Camila Rogers</t>
  </si>
  <si>
    <t>Controls Engineer</t>
  </si>
  <si>
    <t>Engineering</t>
  </si>
  <si>
    <t>Eli Jones</t>
  </si>
  <si>
    <t>Everleigh Ng</t>
  </si>
  <si>
    <t>Robert Yang</t>
  </si>
  <si>
    <t>Isabella Xi</t>
  </si>
  <si>
    <t>Vice President</t>
  </si>
  <si>
    <t>Marketing</t>
  </si>
  <si>
    <t>Bella Powell</t>
  </si>
  <si>
    <t>Camila Silva</t>
  </si>
  <si>
    <t>David Barnes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</si>
</sst>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indent="1"/>
    </xf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activeCell="C20" sqref="C20"/>
    </sheetView>
  </sheetViews>
  <sheetFormatPr defaultRowHeight="15"/>
  <cols>
    <col min="1" max="1" width="36.5703125" bestFit="1" customWidth="1"/>
    <col min="2" max="2" width="14.85546875" bestFit="1" customWidth="1"/>
    <col min="3" max="3" width="16" customWidth="1"/>
    <col min="4" max="4" width="16.85546875" bestFit="1" customWidth="1"/>
    <col min="5" max="5" width="5.5703125" customWidth="1"/>
    <col min="6" max="6" width="9.28515625" hidden="1" customWidth="1"/>
    <col min="7" max="7" width="47.5703125" customWidth="1"/>
    <col min="10" max="10" width="10.7109375" bestFit="1" customWidth="1"/>
    <col min="11" max="11" width="11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G1" s="2" t="s">
        <v>4</v>
      </c>
    </row>
    <row r="2" spans="1:11">
      <c r="A2">
        <v>200</v>
      </c>
      <c r="B2">
        <v>200</v>
      </c>
      <c r="C2">
        <v>20</v>
      </c>
      <c r="D2">
        <v>12</v>
      </c>
    </row>
    <row r="3" spans="1:11">
      <c r="A3">
        <v>150</v>
      </c>
      <c r="B3">
        <v>150</v>
      </c>
      <c r="C3">
        <v>15</v>
      </c>
      <c r="D3">
        <v>3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</row>
    <row r="4" spans="1:11" ht="17.25" customHeight="1">
      <c r="A4">
        <f>A2+A3</f>
        <v>350</v>
      </c>
      <c r="B4">
        <f>B2-B3</f>
        <v>50</v>
      </c>
      <c r="C4">
        <f>C2*C3</f>
        <v>300</v>
      </c>
      <c r="D4">
        <f>D2/D3</f>
        <v>4</v>
      </c>
      <c r="G4" t="s">
        <v>10</v>
      </c>
      <c r="H4">
        <v>250</v>
      </c>
      <c r="I4">
        <v>3</v>
      </c>
      <c r="J4">
        <v>350</v>
      </c>
      <c r="K4">
        <f>(J4*I4)+H4</f>
        <v>1300</v>
      </c>
    </row>
    <row r="5" spans="1:11" ht="10.5" customHeight="1">
      <c r="A5">
        <f>SUM(A2,A3)</f>
        <v>350</v>
      </c>
      <c r="C5">
        <f>PRODUCT(C2,C3)</f>
        <v>300</v>
      </c>
      <c r="K5">
        <v>8</v>
      </c>
    </row>
    <row r="6" spans="1:11" ht="15" customHeight="1">
      <c r="G6" s="3" t="s">
        <v>11</v>
      </c>
    </row>
    <row r="7" spans="1:11" ht="11.25" customHeight="1"/>
    <row r="9" spans="1:11" ht="45.75">
      <c r="A9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5EBD-DAAB-4DE3-B562-EF5DF679DC87}">
  <dimension ref="A1:Q21"/>
  <sheetViews>
    <sheetView topLeftCell="D1" workbookViewId="0">
      <selection activeCell="Q5" sqref="Q5"/>
    </sheetView>
  </sheetViews>
  <sheetFormatPr defaultRowHeight="15"/>
  <cols>
    <col min="2" max="2" width="10.5703125" bestFit="1" customWidth="1"/>
    <col min="3" max="3" width="36.5703125" bestFit="1" customWidth="1"/>
    <col min="4" max="4" width="24.28515625" bestFit="1" customWidth="1"/>
    <col min="5" max="5" width="20.140625" customWidth="1"/>
    <col min="6" max="6" width="25.140625" customWidth="1"/>
    <col min="7" max="7" width="20.28515625" customWidth="1"/>
    <col min="8" max="8" width="18.7109375" customWidth="1"/>
    <col min="11" max="11" width="10.85546875" bestFit="1" customWidth="1"/>
    <col min="12" max="12" width="11" bestFit="1" customWidth="1"/>
    <col min="17" max="17" width="23.42578125" bestFit="1" customWidth="1"/>
    <col min="18" max="18" width="26.85546875" customWidth="1"/>
    <col min="19" max="19" width="15.140625" customWidth="1"/>
  </cols>
  <sheetData>
    <row r="1" spans="1:17">
      <c r="A1" t="s">
        <v>13</v>
      </c>
      <c r="B1" t="s">
        <v>14</v>
      </c>
      <c r="C1" s="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>
      <c r="A2" t="s">
        <v>30</v>
      </c>
      <c r="B2" t="s">
        <v>31</v>
      </c>
      <c r="C2" s="1" t="s">
        <v>32</v>
      </c>
      <c r="D2" t="str">
        <f>CONCATENATE(A2," ",B2," ",C2)</f>
        <v>MR. JON YANG</v>
      </c>
      <c r="E2" t="str">
        <f>LOWER(D2)</f>
        <v>mr. jon yang</v>
      </c>
      <c r="F2" t="str">
        <f>UPPER(E2)</f>
        <v>MR. JON YANG</v>
      </c>
      <c r="G2" t="str">
        <f>UPPER(B2)</f>
        <v>JON</v>
      </c>
      <c r="H2" t="str">
        <f>PROPER(B2)</f>
        <v>Jon</v>
      </c>
      <c r="I2" t="str">
        <f>PROPER(F2)</f>
        <v>Mr. Jon Yang</v>
      </c>
      <c r="J2">
        <f>LEN(B2)</f>
        <v>3</v>
      </c>
      <c r="K2" t="str">
        <f>LEFT(B2,3)</f>
        <v>JON</v>
      </c>
      <c r="L2" t="str">
        <f>RIGHT(B2)</f>
        <v>N</v>
      </c>
      <c r="M2" t="str">
        <f>MID(H2,2,3)</f>
        <v>on</v>
      </c>
      <c r="N2">
        <f>FIND("O",G2)</f>
        <v>2</v>
      </c>
      <c r="O2">
        <f>SEARCH("O",G2)</f>
        <v>2</v>
      </c>
      <c r="P2" t="str">
        <f>REPLACE(H2,2,1,"i")</f>
        <v>Jin</v>
      </c>
      <c r="Q2" t="str">
        <f>SUBSTITUTE(H3,"e","i",1)</f>
        <v>Eugine</v>
      </c>
    </row>
    <row r="3" spans="1:17">
      <c r="A3" t="s">
        <v>30</v>
      </c>
      <c r="B3" t="s">
        <v>33</v>
      </c>
      <c r="C3" s="5" t="s">
        <v>34</v>
      </c>
      <c r="D3" t="str">
        <f t="shared" ref="D3:D20" si="0">CONCATENATE(A3," ",B3," ",C3)</f>
        <v>MR. EUGENE HUANG</v>
      </c>
      <c r="E3" t="str">
        <f t="shared" ref="E3:E20" si="1">LOWER(D3)</f>
        <v>mr. eugene huang</v>
      </c>
      <c r="F3" t="str">
        <f>UPPER(E3)</f>
        <v>MR. EUGENE HUANG</v>
      </c>
      <c r="G3" t="str">
        <f t="shared" ref="G3:G20" si="2">UPPER(B3)</f>
        <v>EUGENE</v>
      </c>
      <c r="H3" t="str">
        <f>PROPER(B3)</f>
        <v>Eugene</v>
      </c>
      <c r="I3" t="str">
        <f>PROPER(F3)</f>
        <v>Mr. Eugene Huang</v>
      </c>
      <c r="J3">
        <f>LEN(B3)</f>
        <v>6</v>
      </c>
      <c r="K3" t="str">
        <f>LEFT(B3,3)</f>
        <v>EUG</v>
      </c>
      <c r="L3" t="str">
        <f>RIGHT(B3)</f>
        <v>E</v>
      </c>
      <c r="M3" t="str">
        <f t="shared" ref="M3:M20" si="3">MID(H3,2,3)</f>
        <v>uge</v>
      </c>
      <c r="Q3" t="str">
        <f>SUBSTITUTE(H3,"e","i")</f>
        <v>Eugini</v>
      </c>
    </row>
    <row r="4" spans="1:17">
      <c r="A4" t="s">
        <v>30</v>
      </c>
      <c r="B4" t="s">
        <v>35</v>
      </c>
      <c r="C4" s="5" t="s">
        <v>36</v>
      </c>
      <c r="D4" t="str">
        <f t="shared" si="0"/>
        <v>MR. RUBEN TORRES</v>
      </c>
      <c r="E4" t="str">
        <f t="shared" si="1"/>
        <v>mr. ruben torres</v>
      </c>
      <c r="F4" t="str">
        <f>UPPER(E4)</f>
        <v>MR. RUBEN TORRES</v>
      </c>
      <c r="G4" t="str">
        <f t="shared" si="2"/>
        <v>RUBEN</v>
      </c>
      <c r="H4" t="str">
        <f>PROPER(B4)</f>
        <v>Ruben</v>
      </c>
      <c r="I4" t="str">
        <f>PROPER(F4)</f>
        <v>Mr. Ruben Torres</v>
      </c>
      <c r="J4">
        <f>LEN(B4)</f>
        <v>5</v>
      </c>
      <c r="K4" t="str">
        <f>LEFT(B4,3)</f>
        <v>RUB</v>
      </c>
      <c r="L4" t="str">
        <f>RIGHT(B4)</f>
        <v>N</v>
      </c>
      <c r="M4" t="str">
        <f t="shared" si="3"/>
        <v>ube</v>
      </c>
    </row>
    <row r="5" spans="1:17">
      <c r="A5" t="s">
        <v>37</v>
      </c>
      <c r="B5" t="s">
        <v>38</v>
      </c>
      <c r="C5" s="5" t="s">
        <v>39</v>
      </c>
      <c r="D5" t="str">
        <f t="shared" si="0"/>
        <v>MS. CHRISTY ZHU</v>
      </c>
      <c r="E5" t="str">
        <f t="shared" si="1"/>
        <v>ms. christy zhu</v>
      </c>
      <c r="F5" t="str">
        <f>UPPER(E5)</f>
        <v>MS. CHRISTY ZHU</v>
      </c>
      <c r="G5" t="str">
        <f t="shared" si="2"/>
        <v>CHRISTY</v>
      </c>
      <c r="H5" t="str">
        <f>PROPER(B5)</f>
        <v>Christy</v>
      </c>
      <c r="I5" t="str">
        <f>PROPER(F5)</f>
        <v>Ms. Christy Zhu</v>
      </c>
      <c r="J5">
        <f>LEN(B5)</f>
        <v>7</v>
      </c>
      <c r="K5" t="str">
        <f>LEFT(B5,3)</f>
        <v>CHR</v>
      </c>
      <c r="L5" t="str">
        <f>RIGHT(B5)</f>
        <v>Y</v>
      </c>
      <c r="M5" t="str">
        <f t="shared" si="3"/>
        <v>hri</v>
      </c>
    </row>
    <row r="6" spans="1:17">
      <c r="A6" t="s">
        <v>40</v>
      </c>
      <c r="B6" t="s">
        <v>41</v>
      </c>
      <c r="C6" s="5" t="s">
        <v>42</v>
      </c>
      <c r="D6" t="str">
        <f t="shared" si="0"/>
        <v>MRS. ELIZABETH JOHNSON</v>
      </c>
      <c r="E6" t="str">
        <f t="shared" si="1"/>
        <v>mrs. elizabeth johnson</v>
      </c>
      <c r="F6" t="str">
        <f>UPPER(E6)</f>
        <v>MRS. ELIZABETH JOHNSON</v>
      </c>
      <c r="G6" t="str">
        <f t="shared" si="2"/>
        <v>ELIZABETH</v>
      </c>
      <c r="H6" t="str">
        <f>PROPER(B6)</f>
        <v>Elizabeth</v>
      </c>
      <c r="I6" t="str">
        <f>PROPER(F6)</f>
        <v>Mrs. Elizabeth Johnson</v>
      </c>
      <c r="J6">
        <f>LEN(B6)</f>
        <v>9</v>
      </c>
      <c r="K6" t="str">
        <f>LEFT(B6,3)</f>
        <v>ELI</v>
      </c>
      <c r="L6" t="str">
        <f>RIGHT(B6)</f>
        <v>H</v>
      </c>
      <c r="M6" t="str">
        <f t="shared" si="3"/>
        <v>liz</v>
      </c>
    </row>
    <row r="7" spans="1:17">
      <c r="A7" t="s">
        <v>30</v>
      </c>
      <c r="B7" t="s">
        <v>43</v>
      </c>
      <c r="C7" s="5" t="s">
        <v>44</v>
      </c>
      <c r="D7" t="str">
        <f t="shared" si="0"/>
        <v>MR. JULIO RUIZ</v>
      </c>
      <c r="E7" t="str">
        <f t="shared" si="1"/>
        <v>mr. julio ruiz</v>
      </c>
      <c r="F7" t="str">
        <f>UPPER(E7)</f>
        <v>MR. JULIO RUIZ</v>
      </c>
      <c r="G7" t="str">
        <f t="shared" si="2"/>
        <v>JULIO</v>
      </c>
      <c r="H7" t="str">
        <f>PROPER(B7)</f>
        <v>Julio</v>
      </c>
      <c r="I7" t="str">
        <f>PROPER(F7)</f>
        <v>Mr. Julio Ruiz</v>
      </c>
      <c r="J7">
        <f>LEN(B7)</f>
        <v>5</v>
      </c>
      <c r="K7" t="str">
        <f>LEFT(B7,3)</f>
        <v>JUL</v>
      </c>
      <c r="L7" t="str">
        <f>RIGHT(B7)</f>
        <v>O</v>
      </c>
      <c r="M7" t="str">
        <f t="shared" si="3"/>
        <v>uli</v>
      </c>
    </row>
    <row r="8" spans="1:17">
      <c r="A8" t="s">
        <v>30</v>
      </c>
      <c r="B8" t="s">
        <v>45</v>
      </c>
      <c r="C8" s="5" t="s">
        <v>46</v>
      </c>
      <c r="D8" t="str">
        <f t="shared" si="0"/>
        <v>MR. MARCO MEHTA</v>
      </c>
      <c r="E8" t="str">
        <f t="shared" si="1"/>
        <v>mr. marco mehta</v>
      </c>
      <c r="F8" t="str">
        <f>UPPER(E8)</f>
        <v>MR. MARCO MEHTA</v>
      </c>
      <c r="G8" t="str">
        <f t="shared" si="2"/>
        <v>MARCO</v>
      </c>
      <c r="H8" t="str">
        <f>PROPER(B8)</f>
        <v>Marco</v>
      </c>
      <c r="I8" t="str">
        <f>PROPER(F8)</f>
        <v>Mr. Marco Mehta</v>
      </c>
      <c r="J8">
        <f>LEN(B8)</f>
        <v>5</v>
      </c>
      <c r="K8" t="str">
        <f>LEFT(B8,3)</f>
        <v>MAR</v>
      </c>
      <c r="L8" t="str">
        <f>RIGHT(B8)</f>
        <v>O</v>
      </c>
      <c r="M8" t="str">
        <f t="shared" si="3"/>
        <v>arc</v>
      </c>
    </row>
    <row r="9" spans="1:17">
      <c r="A9" t="s">
        <v>40</v>
      </c>
      <c r="B9" t="s">
        <v>47</v>
      </c>
      <c r="C9" s="5" t="s">
        <v>48</v>
      </c>
      <c r="D9" t="str">
        <f t="shared" si="0"/>
        <v>MRS. ROBIN VERHOFF</v>
      </c>
      <c r="E9" t="str">
        <f t="shared" si="1"/>
        <v>mrs. robin verhoff</v>
      </c>
      <c r="F9" t="str">
        <f>UPPER(E9)</f>
        <v>MRS. ROBIN VERHOFF</v>
      </c>
      <c r="G9" t="str">
        <f t="shared" si="2"/>
        <v>ROBIN</v>
      </c>
      <c r="H9" t="str">
        <f>PROPER(B9)</f>
        <v>Robin</v>
      </c>
      <c r="I9" t="str">
        <f>PROPER(F9)</f>
        <v>Mrs. Robin Verhoff</v>
      </c>
      <c r="J9">
        <f>LEN(B9)</f>
        <v>5</v>
      </c>
      <c r="K9" t="str">
        <f>LEFT(B9,3)</f>
        <v>ROB</v>
      </c>
      <c r="L9" t="str">
        <f>RIGHT(B9)</f>
        <v>N</v>
      </c>
      <c r="M9" t="str">
        <f t="shared" si="3"/>
        <v>obi</v>
      </c>
    </row>
    <row r="10" spans="1:17">
      <c r="A10" t="s">
        <v>30</v>
      </c>
      <c r="B10" t="s">
        <v>49</v>
      </c>
      <c r="C10" s="5" t="s">
        <v>50</v>
      </c>
      <c r="D10" t="str">
        <f t="shared" si="0"/>
        <v>MR. SHANNON CARLSON</v>
      </c>
      <c r="E10" t="str">
        <f t="shared" si="1"/>
        <v>mr. shannon carlson</v>
      </c>
      <c r="F10" t="str">
        <f>UPPER(E10)</f>
        <v>MR. SHANNON CARLSON</v>
      </c>
      <c r="G10" t="str">
        <f t="shared" si="2"/>
        <v>SHANNON</v>
      </c>
      <c r="H10" t="str">
        <f>PROPER(B10)</f>
        <v>Shannon</v>
      </c>
      <c r="I10" t="str">
        <f>PROPER(F10)</f>
        <v>Mr. Shannon Carlson</v>
      </c>
      <c r="J10">
        <f>LEN(B10)</f>
        <v>7</v>
      </c>
      <c r="K10" t="str">
        <f>LEFT(B10,3)</f>
        <v>SHA</v>
      </c>
      <c r="L10" t="str">
        <f>RIGHT(B10)</f>
        <v>N</v>
      </c>
      <c r="M10" t="str">
        <f t="shared" si="3"/>
        <v>han</v>
      </c>
    </row>
    <row r="11" spans="1:17">
      <c r="A11" t="s">
        <v>37</v>
      </c>
      <c r="B11" t="s">
        <v>51</v>
      </c>
      <c r="C11" s="5" t="s">
        <v>52</v>
      </c>
      <c r="D11" t="str">
        <f t="shared" si="0"/>
        <v>MS. JACQUELY SUAREZ</v>
      </c>
      <c r="E11" t="str">
        <f t="shared" si="1"/>
        <v>ms. jacquely suarez</v>
      </c>
      <c r="F11" t="str">
        <f>UPPER(E11)</f>
        <v>MS. JACQUELY SUAREZ</v>
      </c>
      <c r="G11" t="str">
        <f t="shared" si="2"/>
        <v>JACQUELY</v>
      </c>
      <c r="H11" t="str">
        <f>PROPER(B11)</f>
        <v>Jacquely</v>
      </c>
      <c r="I11" t="str">
        <f>PROPER(F11)</f>
        <v>Ms. Jacquely Suarez</v>
      </c>
      <c r="J11">
        <f>LEN(B11)</f>
        <v>8</v>
      </c>
      <c r="K11" t="str">
        <f>LEFT(B11,3)</f>
        <v>JAC</v>
      </c>
      <c r="L11" t="str">
        <f>RIGHT(B11)</f>
        <v>Y</v>
      </c>
      <c r="M11" t="str">
        <f t="shared" si="3"/>
        <v>acq</v>
      </c>
    </row>
    <row r="12" spans="1:17">
      <c r="A12" t="s">
        <v>30</v>
      </c>
      <c r="B12" t="s">
        <v>53</v>
      </c>
      <c r="C12" s="5" t="s">
        <v>54</v>
      </c>
      <c r="D12" t="str">
        <f t="shared" si="0"/>
        <v>MR. CURTIS LU</v>
      </c>
      <c r="E12" t="str">
        <f t="shared" si="1"/>
        <v>mr. curtis lu</v>
      </c>
      <c r="F12" t="str">
        <f>UPPER(E12)</f>
        <v>MR. CURTIS LU</v>
      </c>
      <c r="G12" t="str">
        <f t="shared" si="2"/>
        <v>CURTIS</v>
      </c>
      <c r="H12" t="str">
        <f>PROPER(B12)</f>
        <v>Curtis</v>
      </c>
      <c r="I12" t="str">
        <f>PROPER(F12)</f>
        <v>Mr. Curtis Lu</v>
      </c>
      <c r="J12">
        <f>LEN(B12)</f>
        <v>6</v>
      </c>
      <c r="K12" t="str">
        <f>LEFT(B12,3)</f>
        <v>CUR</v>
      </c>
      <c r="L12" t="str">
        <f>RIGHT(B12)</f>
        <v>S</v>
      </c>
      <c r="M12" t="str">
        <f t="shared" si="3"/>
        <v>urt</v>
      </c>
    </row>
    <row r="13" spans="1:17">
      <c r="A13" t="s">
        <v>40</v>
      </c>
      <c r="B13" t="s">
        <v>55</v>
      </c>
      <c r="C13" s="5" t="s">
        <v>56</v>
      </c>
      <c r="D13" t="str">
        <f t="shared" si="0"/>
        <v>MRS. LAUREN WALKER</v>
      </c>
      <c r="E13" t="str">
        <f t="shared" si="1"/>
        <v>mrs. lauren walker</v>
      </c>
      <c r="F13" t="str">
        <f>UPPER(E13)</f>
        <v>MRS. LAUREN WALKER</v>
      </c>
      <c r="G13" t="str">
        <f t="shared" si="2"/>
        <v>LAUREN</v>
      </c>
      <c r="H13" t="str">
        <f>PROPER(B13)</f>
        <v>Lauren</v>
      </c>
      <c r="I13" t="str">
        <f>PROPER(F13)</f>
        <v>Mrs. Lauren Walker</v>
      </c>
      <c r="J13">
        <f>LEN(B13)</f>
        <v>6</v>
      </c>
      <c r="K13" t="str">
        <f>LEFT(B13,3)</f>
        <v>LAU</v>
      </c>
      <c r="L13" t="str">
        <f>RIGHT(B13)</f>
        <v>N</v>
      </c>
      <c r="M13" t="str">
        <f t="shared" si="3"/>
        <v>aur</v>
      </c>
    </row>
    <row r="14" spans="1:17">
      <c r="A14" t="s">
        <v>30</v>
      </c>
      <c r="B14" t="s">
        <v>57</v>
      </c>
      <c r="C14" s="5" t="s">
        <v>58</v>
      </c>
      <c r="D14" t="str">
        <f t="shared" si="0"/>
        <v>MR. IAN JENKINS</v>
      </c>
      <c r="E14" t="str">
        <f t="shared" si="1"/>
        <v>mr. ian jenkins</v>
      </c>
      <c r="F14" t="str">
        <f>UPPER(E14)</f>
        <v>MR. IAN JENKINS</v>
      </c>
      <c r="G14" t="str">
        <f t="shared" si="2"/>
        <v>IAN</v>
      </c>
      <c r="H14" t="str">
        <f>PROPER(B14)</f>
        <v>Ian</v>
      </c>
      <c r="I14" t="str">
        <f>PROPER(F14)</f>
        <v>Mr. Ian Jenkins</v>
      </c>
      <c r="J14">
        <f>LEN(B14)</f>
        <v>3</v>
      </c>
      <c r="K14" t="str">
        <f>LEFT(B14,3)</f>
        <v>IAN</v>
      </c>
      <c r="L14" t="str">
        <f>RIGHT(B14)</f>
        <v>N</v>
      </c>
      <c r="M14" t="str">
        <f t="shared" si="3"/>
        <v>an</v>
      </c>
    </row>
    <row r="15" spans="1:17">
      <c r="A15" t="s">
        <v>40</v>
      </c>
      <c r="B15" t="s">
        <v>59</v>
      </c>
      <c r="C15" s="5" t="s">
        <v>60</v>
      </c>
      <c r="D15" t="str">
        <f t="shared" si="0"/>
        <v>MRS. SYDNEY BENNETT</v>
      </c>
      <c r="E15" t="str">
        <f t="shared" si="1"/>
        <v>mrs. sydney bennett</v>
      </c>
      <c r="F15" t="str">
        <f>UPPER(E15)</f>
        <v>MRS. SYDNEY BENNETT</v>
      </c>
      <c r="G15" t="str">
        <f t="shared" si="2"/>
        <v>SYDNEY</v>
      </c>
      <c r="H15" t="str">
        <f>PROPER(B15)</f>
        <v>Sydney</v>
      </c>
      <c r="I15" t="str">
        <f>PROPER(F15)</f>
        <v>Mrs. Sydney Bennett</v>
      </c>
      <c r="J15">
        <f>LEN(B15)</f>
        <v>6</v>
      </c>
      <c r="K15" t="str">
        <f>LEFT(B15,3)</f>
        <v>SYD</v>
      </c>
      <c r="L15" t="str">
        <f>RIGHT(B15)</f>
        <v>Y</v>
      </c>
      <c r="M15" t="str">
        <f t="shared" si="3"/>
        <v>ydn</v>
      </c>
    </row>
    <row r="16" spans="1:17">
      <c r="A16" t="s">
        <v>37</v>
      </c>
      <c r="B16" t="s">
        <v>61</v>
      </c>
      <c r="C16" s="5" t="s">
        <v>62</v>
      </c>
      <c r="D16" t="str">
        <f t="shared" si="0"/>
        <v>MS. CHLOE YOUNG</v>
      </c>
      <c r="E16" t="str">
        <f t="shared" si="1"/>
        <v>ms. chloe young</v>
      </c>
      <c r="F16" t="str">
        <f>UPPER(E16)</f>
        <v>MS. CHLOE YOUNG</v>
      </c>
      <c r="G16" t="str">
        <f t="shared" si="2"/>
        <v>CHLOE</v>
      </c>
      <c r="H16" t="str">
        <f>PROPER(B16)</f>
        <v>Chloe</v>
      </c>
      <c r="I16" t="str">
        <f>PROPER(F16)</f>
        <v>Ms. Chloe Young</v>
      </c>
      <c r="J16">
        <f>LEN(B16)</f>
        <v>5</v>
      </c>
      <c r="K16" t="str">
        <f>LEFT(B16,3)</f>
        <v>CHL</v>
      </c>
      <c r="L16" t="str">
        <f>RIGHT(B16)</f>
        <v>E</v>
      </c>
      <c r="M16" t="str">
        <f t="shared" si="3"/>
        <v>hlo</v>
      </c>
    </row>
    <row r="17" spans="1:13">
      <c r="A17" t="s">
        <v>30</v>
      </c>
      <c r="B17" t="s">
        <v>63</v>
      </c>
      <c r="C17" s="5" t="s">
        <v>64</v>
      </c>
      <c r="D17" t="str">
        <f t="shared" si="0"/>
        <v>MR. WYATT HILL</v>
      </c>
      <c r="E17" t="str">
        <f t="shared" si="1"/>
        <v>mr. wyatt hill</v>
      </c>
      <c r="F17" t="str">
        <f>UPPER(E17)</f>
        <v>MR. WYATT HILL</v>
      </c>
      <c r="G17" t="str">
        <f t="shared" si="2"/>
        <v>WYATT</v>
      </c>
      <c r="H17" t="str">
        <f>PROPER(B17)</f>
        <v>Wyatt</v>
      </c>
      <c r="I17" t="str">
        <f>PROPER(F17)</f>
        <v>Mr. Wyatt Hill</v>
      </c>
      <c r="J17">
        <f>LEN(B17)</f>
        <v>5</v>
      </c>
      <c r="K17" t="str">
        <f>LEFT(B17,3)</f>
        <v>WYA</v>
      </c>
      <c r="L17" t="str">
        <f>RIGHT(B17)</f>
        <v>T</v>
      </c>
      <c r="M17" t="str">
        <f t="shared" si="3"/>
        <v>yat</v>
      </c>
    </row>
    <row r="18" spans="1:13">
      <c r="A18" t="s">
        <v>40</v>
      </c>
      <c r="B18" t="s">
        <v>49</v>
      </c>
      <c r="C18" s="5" t="s">
        <v>65</v>
      </c>
      <c r="D18" t="str">
        <f t="shared" si="0"/>
        <v>MRS. SHANNON WANG</v>
      </c>
      <c r="E18" t="str">
        <f t="shared" si="1"/>
        <v>mrs. shannon wang</v>
      </c>
      <c r="F18" t="str">
        <f>UPPER(E18)</f>
        <v>MRS. SHANNON WANG</v>
      </c>
      <c r="G18" t="str">
        <f t="shared" si="2"/>
        <v>SHANNON</v>
      </c>
      <c r="H18" t="str">
        <f>PROPER(B18)</f>
        <v>Shannon</v>
      </c>
      <c r="I18" t="str">
        <f>PROPER(F18)</f>
        <v>Mrs. Shannon Wang</v>
      </c>
      <c r="J18">
        <f>LEN(B18)</f>
        <v>7</v>
      </c>
      <c r="K18" t="str">
        <f>LEFT(B18,3)</f>
        <v>SHA</v>
      </c>
      <c r="L18" t="str">
        <f>RIGHT(B18)</f>
        <v>N</v>
      </c>
      <c r="M18" t="str">
        <f t="shared" si="3"/>
        <v>han</v>
      </c>
    </row>
    <row r="19" spans="1:13">
      <c r="A19" t="s">
        <v>30</v>
      </c>
      <c r="B19" t="s">
        <v>66</v>
      </c>
      <c r="C19" s="5" t="s">
        <v>67</v>
      </c>
      <c r="D19" t="str">
        <f t="shared" si="0"/>
        <v>MR. CLARENCE RAI</v>
      </c>
      <c r="E19" t="str">
        <f t="shared" si="1"/>
        <v>mr. clarence rai</v>
      </c>
      <c r="F19" t="str">
        <f>UPPER(E19)</f>
        <v>MR. CLARENCE RAI</v>
      </c>
      <c r="G19" t="str">
        <f t="shared" si="2"/>
        <v>CLARENCE</v>
      </c>
      <c r="H19" t="str">
        <f>PROPER(B19)</f>
        <v>Clarence</v>
      </c>
      <c r="I19" t="str">
        <f>PROPER(F19)</f>
        <v>Mr. Clarence Rai</v>
      </c>
      <c r="J19">
        <f>LEN(B19)</f>
        <v>8</v>
      </c>
      <c r="K19" t="str">
        <f>LEFT(B19,3)</f>
        <v>CLA</v>
      </c>
      <c r="L19" t="str">
        <f>RIGHT(B19)</f>
        <v>E</v>
      </c>
      <c r="M19" t="str">
        <f t="shared" si="3"/>
        <v>lar</v>
      </c>
    </row>
    <row r="20" spans="1:13">
      <c r="A20" t="s">
        <v>30</v>
      </c>
      <c r="B20" t="s">
        <v>68</v>
      </c>
      <c r="C20" s="5" t="s">
        <v>69</v>
      </c>
      <c r="D20" t="str">
        <f t="shared" si="0"/>
        <v>MR. LUKE LAI</v>
      </c>
      <c r="E20" t="str">
        <f t="shared" si="1"/>
        <v>mr. luke lai</v>
      </c>
      <c r="F20" t="str">
        <f>UPPER(E20)</f>
        <v>MR. LUKE LAI</v>
      </c>
      <c r="G20" t="str">
        <f t="shared" si="2"/>
        <v>LUKE</v>
      </c>
      <c r="H20" t="str">
        <f>PROPER(B20)</f>
        <v>Luke</v>
      </c>
      <c r="I20" t="str">
        <f>PROPER(F20)</f>
        <v>Mr. Luke Lai</v>
      </c>
      <c r="J20">
        <f>LEN(B20)</f>
        <v>4</v>
      </c>
      <c r="K20" t="str">
        <f>LEFT(B20,3)</f>
        <v>LUK</v>
      </c>
      <c r="L20" t="str">
        <f>RIGHT(B20)</f>
        <v>E</v>
      </c>
      <c r="M20" t="str">
        <f t="shared" si="3"/>
        <v>uke</v>
      </c>
    </row>
    <row r="21" spans="1:13">
      <c r="C2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4EB9-9F6C-46FA-A9B9-AD88843C5844}">
  <dimension ref="A1:F120"/>
  <sheetViews>
    <sheetView tabSelected="1" workbookViewId="0">
      <selection activeCell="A101" sqref="A101:A120"/>
    </sheetView>
  </sheetViews>
  <sheetFormatPr defaultRowHeight="15"/>
  <cols>
    <col min="1" max="1" width="25.5703125" bestFit="1" customWidth="1"/>
    <col min="2" max="2" width="26.140625" customWidth="1"/>
    <col min="3" max="3" width="18.5703125" customWidth="1"/>
    <col min="4" max="4" width="10" customWidth="1"/>
    <col min="6" max="6" width="17" customWidth="1"/>
  </cols>
  <sheetData>
    <row r="1" spans="1:6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6">
      <c r="A2" t="s">
        <v>75</v>
      </c>
      <c r="B2" t="s">
        <v>76</v>
      </c>
      <c r="C2" t="s">
        <v>77</v>
      </c>
      <c r="D2" t="s">
        <v>78</v>
      </c>
      <c r="E2">
        <v>55</v>
      </c>
      <c r="F2" s="3"/>
    </row>
    <row r="3" spans="1:6">
      <c r="A3" t="s">
        <v>79</v>
      </c>
      <c r="B3" t="s">
        <v>80</v>
      </c>
      <c r="C3" t="s">
        <v>77</v>
      </c>
      <c r="D3" t="s">
        <v>81</v>
      </c>
      <c r="E3">
        <v>59</v>
      </c>
    </row>
    <row r="4" spans="1:6">
      <c r="A4" t="s">
        <v>82</v>
      </c>
      <c r="B4" t="s">
        <v>83</v>
      </c>
      <c r="C4" t="s">
        <v>84</v>
      </c>
      <c r="D4" t="s">
        <v>78</v>
      </c>
      <c r="E4">
        <v>50</v>
      </c>
    </row>
    <row r="5" spans="1:6">
      <c r="A5" t="s">
        <v>85</v>
      </c>
      <c r="B5" t="s">
        <v>86</v>
      </c>
      <c r="C5" t="s">
        <v>77</v>
      </c>
      <c r="D5" t="s">
        <v>78</v>
      </c>
      <c r="E5">
        <v>26</v>
      </c>
    </row>
    <row r="6" spans="1:6">
      <c r="A6" t="s">
        <v>87</v>
      </c>
      <c r="B6" t="s">
        <v>88</v>
      </c>
      <c r="C6" t="s">
        <v>84</v>
      </c>
      <c r="D6" t="s">
        <v>81</v>
      </c>
      <c r="E6">
        <v>55</v>
      </c>
    </row>
    <row r="7" spans="1:6">
      <c r="A7" t="s">
        <v>89</v>
      </c>
      <c r="B7" t="s">
        <v>90</v>
      </c>
      <c r="C7" t="s">
        <v>91</v>
      </c>
      <c r="D7" t="s">
        <v>81</v>
      </c>
      <c r="E7">
        <v>57</v>
      </c>
    </row>
    <row r="8" spans="1:6">
      <c r="A8" t="s">
        <v>92</v>
      </c>
      <c r="B8" t="s">
        <v>93</v>
      </c>
      <c r="C8" t="s">
        <v>77</v>
      </c>
      <c r="D8" t="s">
        <v>78</v>
      </c>
      <c r="E8">
        <v>27</v>
      </c>
    </row>
    <row r="9" spans="1:6">
      <c r="A9" t="s">
        <v>94</v>
      </c>
      <c r="B9" t="s">
        <v>95</v>
      </c>
      <c r="C9" t="s">
        <v>84</v>
      </c>
      <c r="D9" t="s">
        <v>81</v>
      </c>
      <c r="E9">
        <v>25</v>
      </c>
    </row>
    <row r="10" spans="1:6">
      <c r="A10" t="s">
        <v>96</v>
      </c>
      <c r="B10" t="s">
        <v>93</v>
      </c>
      <c r="C10" t="s">
        <v>97</v>
      </c>
      <c r="D10" t="s">
        <v>81</v>
      </c>
      <c r="E10">
        <v>29</v>
      </c>
    </row>
    <row r="11" spans="1:6">
      <c r="A11" t="s">
        <v>98</v>
      </c>
      <c r="B11" t="s">
        <v>88</v>
      </c>
      <c r="C11" t="s">
        <v>84</v>
      </c>
      <c r="D11" t="s">
        <v>78</v>
      </c>
      <c r="E11">
        <v>34</v>
      </c>
    </row>
    <row r="12" spans="1:6">
      <c r="A12" t="s">
        <v>99</v>
      </c>
      <c r="B12" t="s">
        <v>76</v>
      </c>
      <c r="C12" t="s">
        <v>100</v>
      </c>
      <c r="D12" t="s">
        <v>78</v>
      </c>
      <c r="E12">
        <v>36</v>
      </c>
    </row>
    <row r="13" spans="1:6">
      <c r="A13" t="s">
        <v>101</v>
      </c>
      <c r="B13" t="s">
        <v>102</v>
      </c>
      <c r="C13" t="s">
        <v>103</v>
      </c>
      <c r="D13" t="s">
        <v>78</v>
      </c>
      <c r="E13">
        <v>27</v>
      </c>
    </row>
    <row r="14" spans="1:6">
      <c r="A14" t="s">
        <v>104</v>
      </c>
      <c r="B14" t="s">
        <v>93</v>
      </c>
      <c r="C14" t="s">
        <v>100</v>
      </c>
      <c r="D14" t="s">
        <v>81</v>
      </c>
      <c r="E14">
        <v>59</v>
      </c>
    </row>
    <row r="15" spans="1:6">
      <c r="A15" t="s">
        <v>105</v>
      </c>
      <c r="B15" t="s">
        <v>76</v>
      </c>
      <c r="C15" t="s">
        <v>84</v>
      </c>
      <c r="D15" t="s">
        <v>78</v>
      </c>
      <c r="E15">
        <v>51</v>
      </c>
    </row>
    <row r="16" spans="1:6">
      <c r="A16" t="s">
        <v>106</v>
      </c>
      <c r="B16" t="s">
        <v>88</v>
      </c>
      <c r="C16" t="s">
        <v>97</v>
      </c>
      <c r="D16" t="s">
        <v>81</v>
      </c>
      <c r="E16">
        <v>31</v>
      </c>
    </row>
    <row r="17" spans="1:5">
      <c r="A17" t="s">
        <v>107</v>
      </c>
      <c r="B17" t="s">
        <v>108</v>
      </c>
      <c r="C17" t="s">
        <v>109</v>
      </c>
      <c r="D17" t="s">
        <v>78</v>
      </c>
      <c r="E17">
        <v>41</v>
      </c>
    </row>
    <row r="18" spans="1:5">
      <c r="A18" t="s">
        <v>110</v>
      </c>
      <c r="B18" t="s">
        <v>83</v>
      </c>
      <c r="C18" t="s">
        <v>84</v>
      </c>
      <c r="D18" t="s">
        <v>78</v>
      </c>
      <c r="E18">
        <v>65</v>
      </c>
    </row>
    <row r="19" spans="1:5">
      <c r="A19" t="s">
        <v>111</v>
      </c>
      <c r="B19" t="s">
        <v>76</v>
      </c>
      <c r="C19" t="s">
        <v>109</v>
      </c>
      <c r="D19" t="s">
        <v>78</v>
      </c>
      <c r="E19">
        <v>64</v>
      </c>
    </row>
    <row r="20" spans="1:5">
      <c r="A20" t="s">
        <v>112</v>
      </c>
      <c r="B20" t="s">
        <v>83</v>
      </c>
      <c r="C20" t="s">
        <v>77</v>
      </c>
      <c r="D20" t="s">
        <v>81</v>
      </c>
      <c r="E20">
        <v>64</v>
      </c>
    </row>
    <row r="101" spans="1:3">
      <c r="C101" s="3"/>
    </row>
    <row r="102" spans="1:3">
      <c r="A102" s="6"/>
    </row>
    <row r="108" spans="1:3">
      <c r="A108" s="6"/>
    </row>
    <row r="112" spans="1:3">
      <c r="A112" s="6"/>
    </row>
    <row r="115" spans="1:1">
      <c r="A115" s="6"/>
    </row>
    <row r="116" spans="1:1">
      <c r="A116" s="6"/>
    </row>
    <row r="118" spans="1:1">
      <c r="A118" s="6"/>
    </row>
    <row r="119" spans="1:1">
      <c r="A119" s="6"/>
    </row>
    <row r="120" spans="1:1">
      <c r="A12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D93E-457D-4D4D-B64A-C63F75C8193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2026-01-11T08:10:24Z</dcterms:created>
  <dcterms:modified xsi:type="dcterms:W3CDTF">2026-01-11T09:56:54Z</dcterms:modified>
  <cp:category/>
  <cp:contentStatus/>
</cp:coreProperties>
</file>